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чество" sheetId="1" state="visible" r:id="rId1"/>
    <sheet xmlns:r="http://schemas.openxmlformats.org/officeDocument/2006/relationships" name="Технические" sheetId="2" state="visible" r:id="rId2"/>
    <sheet xmlns:r="http://schemas.openxmlformats.org/officeDocument/2006/relationships" name="Стен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9E9E9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0" customWidth="1" min="4" max="4"/>
    <col width="1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40" customWidth="1" min="11" max="11"/>
  </cols>
  <sheetData>
    <row r="1" ht="45" customHeight="1">
      <c r="A1" s="1" t="inlineStr">
        <is>
          <t>Модель</t>
        </is>
      </c>
      <c r="B1" s="2" t="inlineStr">
        <is>
          <t>З1 Научный аппарат</t>
        </is>
      </c>
      <c r="C1" s="2" t="inlineStr">
        <is>
          <t>З2 Реферирование</t>
        </is>
      </c>
      <c r="D1" s="2" t="inlineStr">
        <is>
          <t>З3 ГОСТ</t>
        </is>
      </c>
      <c r="E1" s="2" t="inlineStr">
        <is>
          <t>З4 Объяснение метода</t>
        </is>
      </c>
      <c r="F1" s="2" t="inlineStr">
        <is>
          <t>З5 Подбор источников</t>
        </is>
      </c>
      <c r="G1" s="2" t="inlineStr">
        <is>
          <t>Сумма (из 10)</t>
        </is>
      </c>
      <c r="H1" s="2" t="inlineStr">
        <is>
          <t>Ссылок названо (З5)</t>
        </is>
      </c>
      <c r="I1" s="2" t="inlineStr">
        <is>
          <t>Из них вымышленных</t>
        </is>
      </c>
      <c r="J1" s="2" t="inlineStr">
        <is>
          <t>Доля вымышленных, %</t>
        </is>
      </c>
      <c r="K1" s="2" t="inlineStr">
        <is>
          <t>Комментарий</t>
        </is>
      </c>
    </row>
    <row r="2">
      <c r="A2" s="3" t="inlineStr">
        <is>
          <t>GigaChat 3.1 10B-A1.8B</t>
        </is>
      </c>
      <c r="B2" s="4" t="n"/>
      <c r="C2" s="4" t="n"/>
      <c r="D2" s="4" t="n"/>
      <c r="E2" s="4" t="n"/>
      <c r="F2" s="4" t="n"/>
      <c r="G2" s="5">
        <f>IF(COUNT(B2:F2)=0,"",SUM(B2:F2))</f>
        <v/>
      </c>
      <c r="H2" s="5" t="n"/>
      <c r="I2" s="5" t="n"/>
      <c r="J2" s="5">
        <f>IF(OR(H2="",H2=0),"",ROUND(I2/H2*100,0))</f>
        <v/>
      </c>
      <c r="K2" s="5" t="n"/>
    </row>
    <row r="3">
      <c r="A3" s="3" t="inlineStr">
        <is>
          <t>YandexGPT 5 Lite 8B</t>
        </is>
      </c>
      <c r="B3" s="4" t="n"/>
      <c r="C3" s="4" t="n"/>
      <c r="D3" s="4" t="n"/>
      <c r="E3" s="4" t="n"/>
      <c r="F3" s="4" t="n"/>
      <c r="G3" s="5">
        <f>IF(COUNT(B3:F3)=0,"",SUM(B3:F3))</f>
        <v/>
      </c>
      <c r="H3" s="5" t="n"/>
      <c r="I3" s="5" t="n"/>
      <c r="J3" s="5">
        <f>IF(OR(H3="",H3=0),"",ROUND(I3/H3*100,0))</f>
        <v/>
      </c>
      <c r="K3" s="5" t="n"/>
    </row>
    <row r="4">
      <c r="A4" s="3" t="inlineStr">
        <is>
          <t>T-Lite-it 2.1</t>
        </is>
      </c>
      <c r="B4" s="4" t="n"/>
      <c r="C4" s="4" t="n"/>
      <c r="D4" s="4" t="n"/>
      <c r="E4" s="4" t="n"/>
      <c r="F4" s="4" t="n"/>
      <c r="G4" s="5">
        <f>IF(COUNT(B4:F4)=0,"",SUM(B4:F4))</f>
        <v/>
      </c>
      <c r="H4" s="5" t="n"/>
      <c r="I4" s="5" t="n"/>
      <c r="J4" s="5">
        <f>IF(OR(H4="",H4=0),"",ROUND(I4/H4*100,0))</f>
        <v/>
      </c>
      <c r="K4" s="5" t="n"/>
    </row>
    <row r="5">
      <c r="A5" s="3" t="inlineStr">
        <is>
          <t>Qwen3.5 9B</t>
        </is>
      </c>
      <c r="B5" s="4" t="n"/>
      <c r="C5" s="4" t="n"/>
      <c r="D5" s="4" t="n"/>
      <c r="E5" s="4" t="n"/>
      <c r="F5" s="4" t="n"/>
      <c r="G5" s="5">
        <f>IF(COUNT(B5:F5)=0,"",SUM(B5:F5))</f>
        <v/>
      </c>
      <c r="H5" s="5" t="n"/>
      <c r="I5" s="5" t="n"/>
      <c r="J5" s="5">
        <f>IF(OR(H5="",H5=0),"",ROUND(I5/H5*100,0))</f>
        <v/>
      </c>
      <c r="K5" s="5" t="n"/>
    </row>
    <row r="6">
      <c r="A6" s="3" t="inlineStr">
        <is>
          <t>GPT-OSS 20B</t>
        </is>
      </c>
      <c r="B6" s="4" t="n"/>
      <c r="C6" s="4" t="n"/>
      <c r="D6" s="4" t="n"/>
      <c r="E6" s="4" t="n"/>
      <c r="F6" s="4" t="n"/>
      <c r="G6" s="5">
        <f>IF(COUNT(B6:F6)=0,"",SUM(B6:F6))</f>
        <v/>
      </c>
      <c r="H6" s="5" t="n"/>
      <c r="I6" s="5" t="n"/>
      <c r="J6" s="5">
        <f>IF(OR(H6="",H6=0),"",ROUND(I6/H6*100,0))</f>
        <v/>
      </c>
      <c r="K6" s="5" t="n"/>
    </row>
    <row r="7">
      <c r="A7" s="3" t="inlineStr">
        <is>
          <t>Gemma 4 26B-A4B</t>
        </is>
      </c>
      <c r="B7" s="4" t="n"/>
      <c r="C7" s="4" t="n"/>
      <c r="D7" s="4" t="n"/>
      <c r="E7" s="4" t="n"/>
      <c r="F7" s="4" t="n"/>
      <c r="G7" s="5">
        <f>IF(COUNT(B7:F7)=0,"",SUM(B7:F7))</f>
        <v/>
      </c>
      <c r="H7" s="5" t="n"/>
      <c r="I7" s="5" t="n"/>
      <c r="J7" s="5">
        <f>IF(OR(H7="",H7=0),"",ROUND(I7/H7*100,0))</f>
        <v/>
      </c>
      <c r="K7" s="5" t="n"/>
    </row>
    <row r="8">
      <c r="A8" s="3" t="inlineStr">
        <is>
          <t>GigaChat (облако)</t>
        </is>
      </c>
      <c r="B8" s="4" t="n"/>
      <c r="C8" s="4" t="n"/>
      <c r="D8" s="4" t="n"/>
      <c r="E8" s="4" t="n"/>
      <c r="F8" s="4" t="n"/>
      <c r="G8" s="5">
        <f>IF(COUNT(B8:F8)=0,"",SUM(B8:F8))</f>
        <v/>
      </c>
      <c r="H8" s="5" t="n"/>
      <c r="I8" s="5" t="n"/>
      <c r="J8" s="5">
        <f>IF(OR(H8="",H8=0),"",ROUND(I8/H8*100,0))</f>
        <v/>
      </c>
      <c r="K8" s="5" t="n"/>
    </row>
    <row r="9">
      <c r="A9" s="3" t="inlineStr">
        <is>
          <t>Алиса AI (облако)</t>
        </is>
      </c>
      <c r="B9" s="4" t="n"/>
      <c r="C9" s="4" t="n"/>
      <c r="D9" s="4" t="n"/>
      <c r="E9" s="4" t="n"/>
      <c r="F9" s="4" t="n"/>
      <c r="G9" s="5">
        <f>IF(COUNT(B9:F9)=0,"",SUM(B9:F9))</f>
        <v/>
      </c>
      <c r="H9" s="5" t="n"/>
      <c r="I9" s="5" t="n"/>
      <c r="J9" s="5">
        <f>IF(OR(H9="",H9=0),"",ROUND(I9/H9*100,0))</f>
        <v/>
      </c>
      <c r="K9" s="5" t="n"/>
    </row>
    <row r="12">
      <c r="A12" t="inlineStr">
        <is>
          <t>Шкала: 0 / 1 / 2 балла за задачу, см. КРИТЕРИИ_ОЦЕНКИ.md. Желтые ячейки заполняются вручную; сумма и доля считаются автоматически.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5" customHeight="1">
      <c r="A1" s="1" t="inlineStr">
        <is>
          <t>Модель</t>
        </is>
      </c>
      <c r="B1" s="2" t="inlineStr">
        <is>
          <t>В видеопамяти, ГБ</t>
        </is>
      </c>
      <c r="C1" s="2" t="inlineStr">
        <is>
          <t>Доля на GPU, %</t>
        </is>
      </c>
      <c r="D1" s="2" t="inlineStr">
        <is>
          <t>Пик видеопамяти (всего), ГБ</t>
        </is>
      </c>
      <c r="E1" s="2" t="inlineStr">
        <is>
          <t>Генерация, ток/с (короткий)</t>
        </is>
      </c>
      <c r="F1" s="2" t="inlineStr">
        <is>
          <t>Генерация, ток/с (длинный)</t>
        </is>
      </c>
      <c r="G1" s="2" t="inlineStr">
        <is>
          <t>Обработка запроса, ток/с</t>
        </is>
      </c>
      <c r="H1" s="2" t="inlineStr">
        <is>
          <t>До 1-го токена, с (длинный)</t>
        </is>
      </c>
      <c r="I1" s="2" t="inlineStr">
        <is>
          <t>Контекст без выгрузки, ток.</t>
        </is>
      </c>
      <c r="J1" s="2" t="inlineStr">
        <is>
          <t>Загрузка, с</t>
        </is>
      </c>
    </row>
    <row r="2">
      <c r="A2" s="3" t="inlineStr">
        <is>
          <t>GigaChat 3.1 10B-A1.8B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3" t="inlineStr">
        <is>
          <t>YandexGPT 5 Lite 8B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3" t="inlineStr">
        <is>
          <t>T-Lite-it 2.1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3" t="inlineStr">
        <is>
          <t>Qwen3.5 9B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3" t="inlineStr">
        <is>
          <t>GPT-OSS 20B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3" t="inlineStr">
        <is>
          <t>Gemma 4 26B-A4B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9">
      <c r="A9" t="inlineStr">
        <is>
          <t>Значения переносятся из results\tech_summary.csv: size_in_vram_GB, gpu_share_pct, gpu_peak_total_GB, gen_tps_short, gen_tps_long, pp_tps_long, ttft_s_long, max_ctx_full_gpu, load_s.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6" t="inlineStr">
        <is>
          <t>Компонент</t>
        </is>
      </c>
      <c r="B1" s="6" t="inlineStr">
        <is>
          <t>Значение</t>
        </is>
      </c>
    </row>
    <row r="2">
      <c r="A2" t="inlineStr">
        <is>
          <t>ЦП</t>
        </is>
      </c>
      <c r="B2" t="inlineStr">
        <is>
          <t>AMD Ryzen 9 9950X</t>
        </is>
      </c>
    </row>
    <row r="3">
      <c r="A3" t="inlineStr">
        <is>
          <t>ГП</t>
        </is>
      </c>
      <c r="B3" t="inlineStr">
        <is>
          <t>NVIDIA GeForce RTX 5070 Ti 16 ГБ</t>
        </is>
      </c>
    </row>
    <row r="4">
      <c r="A4" t="inlineStr">
        <is>
          <t>ОЗУ (тип, частота)</t>
        </is>
      </c>
      <c r="B4" t="inlineStr"/>
    </row>
    <row r="5">
      <c r="A5" t="inlineStr">
        <is>
          <t>Windows (версия)</t>
        </is>
      </c>
      <c r="B5" t="inlineStr"/>
    </row>
    <row r="6">
      <c r="A6" t="inlineStr">
        <is>
          <t>Ollama (ollama --version)</t>
        </is>
      </c>
      <c r="B6" t="inlineStr"/>
    </row>
    <row r="7">
      <c r="A7" t="inlineStr">
        <is>
          <t>LM Studio (версия)</t>
        </is>
      </c>
      <c r="B7" t="inlineStr"/>
    </row>
    <row r="8">
      <c r="A8" t="inlineStr">
        <is>
          <t>Драйвер NVIDIA (nvidia-smi)</t>
        </is>
      </c>
      <c r="B8" t="inlineStr"/>
    </row>
    <row r="9">
      <c r="A9" t="inlineStr">
        <is>
          <t>Дата прогона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2026-10-09T22:36:51Z</dcterms:created>
  <dcterms:modified xmlns:dcterms="http://purl.org/dc/terms/" xmlns:xsi="http://www.w3.org/2001/XMLSchema-instance" xsi:type="dcterms:W3CDTF">2026-10-09T22:36:51Z</dcterms:modified>
</cp:coreProperties>
</file>